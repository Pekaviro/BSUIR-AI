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\курс 2\МСиСвИТ\"/>
    </mc:Choice>
  </mc:AlternateContent>
  <xr:revisionPtr revIDLastSave="0" documentId="8_{0C4C822D-79CF-4C09-A1FE-C9D1D547F273}" xr6:coauthVersionLast="47" xr6:coauthVersionMax="47" xr10:uidLastSave="{00000000-0000-0000-0000-000000000000}"/>
  <bookViews>
    <workbookView xWindow="-108" yWindow="-108" windowWidth="23256" windowHeight="12456" xr2:uid="{52340674-C658-42BB-B4DA-2BD5F5988708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4" i="1" l="1"/>
  <c r="E24" i="1"/>
  <c r="D24" i="1"/>
  <c r="C24" i="1"/>
  <c r="B24" i="1"/>
  <c r="F23" i="1"/>
  <c r="E23" i="1"/>
  <c r="D23" i="1"/>
  <c r="C23" i="1"/>
  <c r="B23" i="1"/>
  <c r="B22" i="1"/>
  <c r="F22" i="1"/>
  <c r="E22" i="1"/>
  <c r="C22" i="1"/>
  <c r="D22" i="1"/>
  <c r="C13" i="1"/>
  <c r="C14" i="1"/>
  <c r="C15" i="1"/>
  <c r="C16" i="1"/>
  <c r="C12" i="1"/>
  <c r="B13" i="1"/>
  <c r="B14" i="1"/>
  <c r="B15" i="1"/>
  <c r="B16" i="1"/>
  <c r="B12" i="1"/>
  <c r="O3" i="1"/>
  <c r="G4" i="1"/>
  <c r="G5" i="1"/>
  <c r="G6" i="1"/>
  <c r="G7" i="1"/>
  <c r="G3" i="1"/>
  <c r="W4" i="1"/>
  <c r="W5" i="1"/>
  <c r="W6" i="1"/>
  <c r="W7" i="1"/>
  <c r="W3" i="1"/>
  <c r="O4" i="1"/>
  <c r="O5" i="1"/>
  <c r="O6" i="1"/>
  <c r="O7" i="1"/>
</calcChain>
</file>

<file path=xl/sharedStrings.xml><?xml version="1.0" encoding="utf-8"?>
<sst xmlns="http://schemas.openxmlformats.org/spreadsheetml/2006/main" count="43" uniqueCount="8">
  <si>
    <t>Функц.</t>
  </si>
  <si>
    <t>Надёжн.</t>
  </si>
  <si>
    <t>Практ.</t>
  </si>
  <si>
    <t>Эффект.</t>
  </si>
  <si>
    <t>Сопров.</t>
  </si>
  <si>
    <t>Ср. арифм.</t>
  </si>
  <si>
    <t>Сигма</t>
  </si>
  <si>
    <t>Оценка эксперта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</si>
</sst>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2" fontId="0" fillId="0" borderId="1" xfId="0" applyNumberFormat="1" applyBorder="1"/>
    <xf numFmtId="12" fontId="0" fillId="0" borderId="1" xfId="0" applyNumberFormat="1" applyBorder="1" applyAlignment="1">
      <alignment horizontal="right" vertical="center"/>
    </xf>
    <xf numFmtId="12" fontId="0" fillId="2" borderId="1" xfId="0" applyNumberFormat="1" applyFill="1" applyBorder="1"/>
    <xf numFmtId="12" fontId="0" fillId="2" borderId="1" xfId="0" applyNumberFormat="1" applyFill="1" applyBorder="1" applyAlignment="1">
      <alignment horizontal="right" vertical="center"/>
    </xf>
    <xf numFmtId="0" fontId="0" fillId="3" borderId="1" xfId="0" applyFill="1" applyBorder="1"/>
    <xf numFmtId="2" fontId="0" fillId="3" borderId="1" xfId="0" applyNumberFormat="1" applyFill="1" applyBorder="1"/>
    <xf numFmtId="12" fontId="0" fillId="0" borderId="0" xfId="0" applyNumberFormat="1"/>
    <xf numFmtId="0" fontId="0" fillId="4" borderId="1" xfId="0" applyFill="1" applyBorder="1"/>
    <xf numFmtId="2" fontId="0" fillId="4" borderId="1" xfId="0" applyNumberFormat="1" applyFill="1" applyBorder="1"/>
    <xf numFmtId="2" fontId="0" fillId="0" borderId="0" xfId="0" applyNumberFormat="1"/>
    <xf numFmtId="0" fontId="0" fillId="0" borderId="0" xfId="0" applyFill="1"/>
    <xf numFmtId="0" fontId="0" fillId="0" borderId="0" xfId="0" applyBorder="1"/>
    <xf numFmtId="0" fontId="0" fillId="0" borderId="0" xfId="0" applyFill="1" applyBorder="1"/>
    <xf numFmtId="0" fontId="0" fillId="3" borderId="2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2BE47-25DB-4168-A8C8-DCE5898A1D2D}">
  <dimension ref="A2:W24"/>
  <sheetViews>
    <sheetView tabSelected="1" workbookViewId="0">
      <selection activeCell="C16" sqref="C16"/>
    </sheetView>
  </sheetViews>
  <sheetFormatPr defaultRowHeight="14.4" x14ac:dyDescent="0.3"/>
  <cols>
    <col min="7" max="7" width="9.21875" bestFit="1" customWidth="1"/>
  </cols>
  <sheetData>
    <row r="2" spans="1:23" x14ac:dyDescent="0.3">
      <c r="A2" s="5"/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8"/>
      <c r="I2" s="5"/>
      <c r="J2" s="5" t="s">
        <v>0</v>
      </c>
      <c r="K2" s="5" t="s">
        <v>1</v>
      </c>
      <c r="L2" s="5" t="s">
        <v>2</v>
      </c>
      <c r="M2" s="5" t="s">
        <v>3</v>
      </c>
      <c r="N2" s="5" t="s">
        <v>4</v>
      </c>
      <c r="O2" s="9"/>
      <c r="Q2" s="6"/>
      <c r="R2" s="6" t="s">
        <v>0</v>
      </c>
      <c r="S2" s="6" t="s">
        <v>1</v>
      </c>
      <c r="T2" s="6" t="s">
        <v>2</v>
      </c>
      <c r="U2" s="6" t="s">
        <v>3</v>
      </c>
      <c r="V2" s="6" t="s">
        <v>4</v>
      </c>
      <c r="W2" s="9"/>
    </row>
    <row r="3" spans="1:23" x14ac:dyDescent="0.3">
      <c r="A3" s="5" t="s">
        <v>0</v>
      </c>
      <c r="B3" s="4">
        <v>1</v>
      </c>
      <c r="C3" s="2">
        <v>5</v>
      </c>
      <c r="D3" s="2">
        <v>3</v>
      </c>
      <c r="E3" s="2">
        <v>0.33333333333333331</v>
      </c>
      <c r="F3" s="2">
        <v>6</v>
      </c>
      <c r="G3" s="9">
        <f>POWER(B3*C3*D3*E3*F3, 1/5)/6.2</f>
        <v>0.31844362674755161</v>
      </c>
      <c r="I3" s="5" t="s">
        <v>0</v>
      </c>
      <c r="J3" s="3">
        <v>1</v>
      </c>
      <c r="K3" s="1">
        <v>4</v>
      </c>
      <c r="L3" s="1">
        <v>1</v>
      </c>
      <c r="M3" s="1">
        <v>0.5</v>
      </c>
      <c r="N3" s="1">
        <v>3</v>
      </c>
      <c r="O3" s="9">
        <f>POWER(J3*K3*L3*M3*N3, 1/5)/5.97</f>
        <v>0.23969331341796576</v>
      </c>
      <c r="Q3" s="6" t="s">
        <v>0</v>
      </c>
      <c r="R3" s="3">
        <v>1</v>
      </c>
      <c r="S3" s="1">
        <v>3</v>
      </c>
      <c r="T3" s="1">
        <v>2</v>
      </c>
      <c r="U3" s="1">
        <v>1</v>
      </c>
      <c r="V3" s="1">
        <v>4</v>
      </c>
      <c r="W3" s="9">
        <f>POWER(R3*S3*T3*U3*V3, 1/5)/5.88</f>
        <v>0.32111820112071499</v>
      </c>
    </row>
    <row r="4" spans="1:23" x14ac:dyDescent="0.3">
      <c r="A4" s="5" t="s">
        <v>1</v>
      </c>
      <c r="B4" s="2">
        <v>0.2</v>
      </c>
      <c r="C4" s="4">
        <v>1</v>
      </c>
      <c r="D4" s="2">
        <v>0.33333333333333331</v>
      </c>
      <c r="E4" s="2">
        <v>0.5</v>
      </c>
      <c r="F4" s="2">
        <v>3</v>
      </c>
      <c r="G4" s="9">
        <f t="shared" ref="G4:G7" si="0">POWER(B4*C4*D4*E4*F4, 1/5)/6.2</f>
        <v>0.10176731362583762</v>
      </c>
      <c r="I4" s="5" t="s">
        <v>1</v>
      </c>
      <c r="J4" s="1">
        <v>0.25</v>
      </c>
      <c r="K4" s="3">
        <v>1</v>
      </c>
      <c r="L4" s="1">
        <v>0.5</v>
      </c>
      <c r="M4" s="1">
        <v>0.33333333333333331</v>
      </c>
      <c r="N4" s="1">
        <v>2</v>
      </c>
      <c r="O4" s="9">
        <f t="shared" ref="O4:O7" si="1">POWER(J4*K4*L4*M4*N4, 1/5)/5.97</f>
        <v>0.10190357485648338</v>
      </c>
      <c r="Q4" s="6" t="s">
        <v>1</v>
      </c>
      <c r="R4" s="1">
        <v>0.33333333333333331</v>
      </c>
      <c r="S4" s="3">
        <v>1</v>
      </c>
      <c r="T4" s="1">
        <v>0.5</v>
      </c>
      <c r="U4" s="1">
        <v>0.33333333333333331</v>
      </c>
      <c r="V4" s="1">
        <v>3</v>
      </c>
      <c r="W4" s="9">
        <f t="shared" ref="W4:W7" si="2">POWER(R4*S4*T4*U4*V4, 1/5)/5.88</f>
        <v>0.11884814945094885</v>
      </c>
    </row>
    <row r="5" spans="1:23" x14ac:dyDescent="0.3">
      <c r="A5" s="5" t="s">
        <v>2</v>
      </c>
      <c r="B5" s="2">
        <v>0.33333333333333331</v>
      </c>
      <c r="C5" s="2">
        <v>3</v>
      </c>
      <c r="D5" s="4">
        <v>1</v>
      </c>
      <c r="E5" s="2">
        <v>1</v>
      </c>
      <c r="F5" s="2">
        <v>4</v>
      </c>
      <c r="G5" s="9">
        <f t="shared" si="0"/>
        <v>0.21282385657627326</v>
      </c>
      <c r="I5" s="5" t="s">
        <v>2</v>
      </c>
      <c r="J5" s="1">
        <v>1</v>
      </c>
      <c r="K5" s="1">
        <v>2</v>
      </c>
      <c r="L5" s="3">
        <v>1</v>
      </c>
      <c r="M5" s="1">
        <v>1</v>
      </c>
      <c r="N5" s="1">
        <v>5</v>
      </c>
      <c r="O5" s="9">
        <f t="shared" si="1"/>
        <v>0.26547624664340264</v>
      </c>
      <c r="Q5" s="6" t="s">
        <v>2</v>
      </c>
      <c r="R5" s="1">
        <v>0.5</v>
      </c>
      <c r="S5" s="1">
        <v>2</v>
      </c>
      <c r="T5" s="3">
        <v>1</v>
      </c>
      <c r="U5" s="1">
        <v>0.5</v>
      </c>
      <c r="V5" s="1">
        <v>2</v>
      </c>
      <c r="W5" s="9">
        <f t="shared" si="2"/>
        <v>0.17006802721088435</v>
      </c>
    </row>
    <row r="6" spans="1:23" x14ac:dyDescent="0.3">
      <c r="A6" s="5" t="s">
        <v>3</v>
      </c>
      <c r="B6" s="2">
        <v>3</v>
      </c>
      <c r="C6" s="2">
        <v>2</v>
      </c>
      <c r="D6" s="2">
        <v>1</v>
      </c>
      <c r="E6" s="4">
        <v>1</v>
      </c>
      <c r="F6" s="2">
        <v>5</v>
      </c>
      <c r="G6" s="9">
        <f t="shared" si="0"/>
        <v>0.31844362674755161</v>
      </c>
      <c r="I6" s="5" t="s">
        <v>3</v>
      </c>
      <c r="J6" s="1">
        <v>2</v>
      </c>
      <c r="K6" s="1">
        <v>3</v>
      </c>
      <c r="L6" s="1">
        <v>1</v>
      </c>
      <c r="M6" s="3">
        <v>1</v>
      </c>
      <c r="N6" s="1">
        <v>5</v>
      </c>
      <c r="O6" s="9">
        <f t="shared" si="1"/>
        <v>0.3307119741766868</v>
      </c>
      <c r="Q6" s="6" t="s">
        <v>3</v>
      </c>
      <c r="R6" s="1">
        <v>1</v>
      </c>
      <c r="S6" s="1">
        <v>3</v>
      </c>
      <c r="T6" s="1">
        <v>2</v>
      </c>
      <c r="U6" s="3">
        <v>1</v>
      </c>
      <c r="V6" s="1">
        <v>4</v>
      </c>
      <c r="W6" s="9">
        <f t="shared" si="2"/>
        <v>0.32111820112071499</v>
      </c>
    </row>
    <row r="7" spans="1:23" x14ac:dyDescent="0.3">
      <c r="A7" s="5" t="s">
        <v>4</v>
      </c>
      <c r="B7" s="2">
        <v>0.16666666666666666</v>
      </c>
      <c r="C7" s="2">
        <v>0.33333333333333331</v>
      </c>
      <c r="D7" s="2">
        <v>0.25</v>
      </c>
      <c r="E7" s="2">
        <v>0.2</v>
      </c>
      <c r="F7" s="4">
        <v>1</v>
      </c>
      <c r="G7" s="9">
        <f t="shared" si="0"/>
        <v>4.9699018312357714E-2</v>
      </c>
      <c r="I7" s="5" t="s">
        <v>4</v>
      </c>
      <c r="J7" s="1">
        <v>0.33333333333333331</v>
      </c>
      <c r="K7" s="1">
        <v>0.5</v>
      </c>
      <c r="L7" s="1">
        <v>0.2</v>
      </c>
      <c r="M7" s="1">
        <v>0.2</v>
      </c>
      <c r="N7" s="3">
        <v>1</v>
      </c>
      <c r="O7" s="9">
        <f t="shared" si="1"/>
        <v>6.1490414000835061E-2</v>
      </c>
      <c r="Q7" s="6" t="s">
        <v>4</v>
      </c>
      <c r="R7" s="1">
        <v>0.25</v>
      </c>
      <c r="S7" s="1">
        <v>0.33333333333333331</v>
      </c>
      <c r="T7" s="1">
        <v>0.5</v>
      </c>
      <c r="U7" s="1">
        <v>0.25</v>
      </c>
      <c r="V7" s="3">
        <v>1</v>
      </c>
      <c r="W7" s="9">
        <f t="shared" si="2"/>
        <v>6.8260336884373357E-2</v>
      </c>
    </row>
    <row r="9" spans="1:23" x14ac:dyDescent="0.3">
      <c r="G9" s="7"/>
      <c r="O9" s="7"/>
    </row>
    <row r="11" spans="1:23" x14ac:dyDescent="0.3">
      <c r="B11" t="s">
        <v>5</v>
      </c>
      <c r="C11" t="s">
        <v>6</v>
      </c>
    </row>
    <row r="12" spans="1:23" x14ac:dyDescent="0.3">
      <c r="A12" s="5" t="s">
        <v>0</v>
      </c>
      <c r="B12" s="10">
        <f>AVERAGE(G3,O3,W3)</f>
        <v>0.29308504709541078</v>
      </c>
      <c r="C12" s="10">
        <f>POWER((POWER(G3-B12, 2)+POWER(O3-B12, 2)+POWER(W3-B12, 2))/2, 1/2)</f>
        <v>4.6257931815330958E-2</v>
      </c>
    </row>
    <row r="13" spans="1:23" x14ac:dyDescent="0.3">
      <c r="A13" s="5" t="s">
        <v>1</v>
      </c>
      <c r="B13" s="10">
        <f t="shared" ref="B13:B16" si="3">AVERAGE(G4,O4,W4)</f>
        <v>0.10750634597775661</v>
      </c>
      <c r="C13" s="10">
        <f t="shared" ref="C13:C16" si="4">POWER((POWER(G4-B13, 2)+POWER(O4-B13, 2)+POWER(W4-B13, 2))/2, 1/2)</f>
        <v>9.8225262177879073E-3</v>
      </c>
      <c r="D13" s="12"/>
    </row>
    <row r="14" spans="1:23" x14ac:dyDescent="0.3">
      <c r="A14" s="5" t="s">
        <v>2</v>
      </c>
      <c r="B14" s="10">
        <f t="shared" si="3"/>
        <v>0.21612271014352005</v>
      </c>
      <c r="C14" s="10">
        <f t="shared" si="4"/>
        <v>4.7789579512321441E-2</v>
      </c>
    </row>
    <row r="15" spans="1:23" x14ac:dyDescent="0.3">
      <c r="A15" s="5" t="s">
        <v>3</v>
      </c>
      <c r="B15" s="10">
        <f t="shared" si="3"/>
        <v>0.32342460068165113</v>
      </c>
      <c r="C15" s="10">
        <f t="shared" si="4"/>
        <v>6.4511779049648606E-3</v>
      </c>
    </row>
    <row r="16" spans="1:23" x14ac:dyDescent="0.3">
      <c r="A16" s="5" t="s">
        <v>4</v>
      </c>
      <c r="B16" s="10">
        <f t="shared" si="3"/>
        <v>5.9816589732522046E-2</v>
      </c>
      <c r="C16" s="10">
        <f t="shared" si="4"/>
        <v>9.393183834241637E-3</v>
      </c>
      <c r="D16" s="11"/>
    </row>
    <row r="19" spans="1:6" x14ac:dyDescent="0.3">
      <c r="A19" s="13" t="s">
        <v>7</v>
      </c>
    </row>
    <row r="21" spans="1:6" x14ac:dyDescent="0.3">
      <c r="A21" s="5"/>
      <c r="B21" s="14" t="s">
        <v>0</v>
      </c>
      <c r="C21" s="5" t="s">
        <v>1</v>
      </c>
      <c r="D21" s="5" t="s">
        <v>2</v>
      </c>
      <c r="E21" s="5" t="s">
        <v>3</v>
      </c>
      <c r="F21" s="5" t="s">
        <v>4</v>
      </c>
    </row>
    <row r="22" spans="1:6" x14ac:dyDescent="0.3">
      <c r="A22" s="5">
        <v>1</v>
      </c>
      <c r="B22" t="b">
        <f>ABS($G3-$B12)&gt;$C12</f>
        <v>0</v>
      </c>
      <c r="C22" t="b">
        <f>ABS($G4-$B13)&gt;C13</f>
        <v>0</v>
      </c>
      <c r="D22" t="b">
        <f>ABS($G5-$B14)&gt;$C14</f>
        <v>0</v>
      </c>
      <c r="E22" t="b">
        <f>ABS($G6-$B15)&gt;$C15</f>
        <v>0</v>
      </c>
      <c r="F22" t="b">
        <f>ABS($G7-$B16)&gt;$C16</f>
        <v>1</v>
      </c>
    </row>
    <row r="23" spans="1:6" x14ac:dyDescent="0.3">
      <c r="A23" s="5">
        <v>2</v>
      </c>
      <c r="B23" t="b">
        <f>ABS($O3-$B12)&gt;$C12</f>
        <v>1</v>
      </c>
      <c r="C23" t="b">
        <f>ABS($O4-$B13)&gt;$C13</f>
        <v>0</v>
      </c>
      <c r="D23" t="b">
        <f>ABS($O5-$B14)&gt;$C14</f>
        <v>1</v>
      </c>
      <c r="E23" t="b">
        <f>ABS($O6-$B15)&gt;$C15</f>
        <v>1</v>
      </c>
      <c r="F23" t="b">
        <f>ABS($O7-$B16)&gt;$C16</f>
        <v>0</v>
      </c>
    </row>
    <row r="24" spans="1:6" x14ac:dyDescent="0.3">
      <c r="A24" s="5">
        <v>3</v>
      </c>
      <c r="B24" t="b">
        <f>ABS($W3-$B12)&gt;$C12</f>
        <v>0</v>
      </c>
      <c r="C24" t="b">
        <f>ABS($W4-$B13)&gt;$C13</f>
        <v>1</v>
      </c>
      <c r="D24" t="b">
        <f>ABS($W5-$B14)&gt;$C14</f>
        <v>0</v>
      </c>
      <c r="E24" t="b">
        <f>ABS($W6-$B15)&gt;$C15</f>
        <v>0</v>
      </c>
      <c r="F24" t="b">
        <f>ABS($W7-$B16)&gt;$C16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Виктория Перминова</dc:creator>
  <cp:lastModifiedBy>Виктория Перминова</cp:lastModifiedBy>
  <dcterms:created xsi:type="dcterms:W3CDTF">2024-10-03T13:13:34Z</dcterms:created>
  <dcterms:modified xsi:type="dcterms:W3CDTF">2024-10-03T14:13:52Z</dcterms:modified>
</cp:coreProperties>
</file>